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ha/Desktop/ЗВІТИ/"/>
    </mc:Choice>
  </mc:AlternateContent>
  <xr:revisionPtr revIDLastSave="0" documentId="8_{8C3E3012-348B-4BE2-B56E-A6E6A03739A1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I7" i="1"/>
  <c r="I2" i="1"/>
  <c r="E2" i="1"/>
  <c r="E3" i="1"/>
  <c r="E4" i="1"/>
  <c r="E6" i="1"/>
  <c r="I4" i="1"/>
  <c r="O4" i="1" s="1"/>
  <c r="E7" i="1"/>
  <c r="E8" i="1"/>
  <c r="E9" i="1"/>
  <c r="E10" i="1"/>
  <c r="E11" i="1"/>
  <c r="E12" i="1"/>
  <c r="E13" i="1"/>
  <c r="P4" i="1" l="1"/>
  <c r="J2" i="1"/>
  <c r="O2" i="1"/>
  <c r="N2" i="1"/>
  <c r="P2" i="1"/>
  <c r="K2" i="1"/>
  <c r="L2" i="1" s="1"/>
  <c r="I9" i="1"/>
  <c r="K9" i="1"/>
  <c r="L9" i="1" s="1"/>
  <c r="I6" i="1"/>
  <c r="N4" i="1"/>
  <c r="I13" i="1"/>
  <c r="I3" i="1"/>
  <c r="O3" i="1" s="1"/>
  <c r="I10" i="1"/>
  <c r="O10" i="1" s="1"/>
  <c r="N10" i="1" s="1"/>
  <c r="I8" i="1"/>
  <c r="I5" i="1"/>
  <c r="O5" i="1" s="1"/>
  <c r="N5" i="1" s="1"/>
  <c r="I12" i="1"/>
  <c r="J12" i="1"/>
  <c r="I11" i="1"/>
  <c r="O11" i="1" s="1"/>
  <c r="K12" i="1" l="1"/>
  <c r="L12" i="1" s="1"/>
  <c r="O12" i="1"/>
  <c r="K8" i="1"/>
  <c r="L8" i="1" s="1"/>
  <c r="O8" i="1"/>
  <c r="K13" i="1"/>
  <c r="L13" i="1" s="1"/>
  <c r="O13" i="1"/>
  <c r="O9" i="1"/>
  <c r="N9" i="1" s="1"/>
  <c r="K6" i="1"/>
  <c r="L6" i="1" s="1"/>
  <c r="O6" i="1"/>
  <c r="O7" i="1"/>
  <c r="N7" i="1" s="1"/>
  <c r="K5" i="1"/>
  <c r="L5" i="1" s="1"/>
  <c r="K3" i="1"/>
  <c r="L3" i="1" s="1"/>
  <c r="N3" i="1"/>
  <c r="J8" i="1"/>
  <c r="J13" i="1"/>
  <c r="N6" i="1"/>
  <c r="P3" i="1"/>
  <c r="J10" i="1"/>
  <c r="J3" i="1"/>
  <c r="K10" i="1"/>
  <c r="L10" i="1" s="1"/>
  <c r="N8" i="1"/>
  <c r="J4" i="1"/>
  <c r="J6" i="1"/>
  <c r="N11" i="1"/>
  <c r="P11" i="1"/>
  <c r="P7" i="1"/>
  <c r="K7" i="1"/>
  <c r="L7" i="1" s="1"/>
  <c r="N13" i="1"/>
  <c r="K11" i="1"/>
  <c r="L11" i="1" s="1"/>
  <c r="K4" i="1"/>
  <c r="L4" i="1" s="1"/>
  <c r="J5" i="1"/>
  <c r="P9" i="1"/>
  <c r="J9" i="1"/>
  <c r="J7" i="1"/>
  <c r="J11" i="1"/>
  <c r="P6" i="1"/>
  <c r="P8" i="1" l="1"/>
  <c r="N12" i="1"/>
  <c r="P12" i="1"/>
  <c r="P10" i="1"/>
  <c r="P13" i="1"/>
  <c r="P5" i="1"/>
</calcChain>
</file>

<file path=xl/sharedStrings.xml><?xml version="1.0" encoding="utf-8"?>
<sst xmlns="http://schemas.openxmlformats.org/spreadsheetml/2006/main" count="26" uniqueCount="25">
  <si>
    <t>Умови відтермінування</t>
  </si>
  <si>
    <r>
      <rPr>
        <b/>
        <sz val="10"/>
        <color rgb="FF000000"/>
        <rFont val="Calibri"/>
        <scheme val="minor"/>
      </rPr>
      <t xml:space="preserve">Комісія сервісу
 </t>
    </r>
    <r>
      <rPr>
        <sz val="10"/>
        <color rgb="FFFF0000"/>
        <rFont val="Calibri"/>
        <scheme val="minor"/>
      </rPr>
      <t xml:space="preserve">не змінюється поле
</t>
    </r>
  </si>
  <si>
    <r>
      <rPr>
        <b/>
        <sz val="10"/>
        <color rgb="FF000000"/>
        <rFont val="Calibri"/>
        <scheme val="minor"/>
      </rPr>
      <t xml:space="preserve">Частка комісії, 
яку переклали 
на покупця
</t>
    </r>
    <r>
      <rPr>
        <sz val="10"/>
        <color rgb="FFFF0000"/>
        <rFont val="Calibri"/>
        <scheme val="minor"/>
      </rPr>
      <t>зміна клітинка</t>
    </r>
  </si>
  <si>
    <t xml:space="preserve">Вартість товару
без ПДВ
</t>
  </si>
  <si>
    <t>Ставка 
ПДВ
зміна клітинка</t>
  </si>
  <si>
    <r>
      <t xml:space="preserve">Вартість товару
з ПДВ
</t>
    </r>
    <r>
      <rPr>
        <sz val="10"/>
        <color rgb="FFFF0000"/>
        <rFont val="Calibri (Body)"/>
      </rPr>
      <t>зміна клітинка</t>
    </r>
  </si>
  <si>
    <r>
      <t xml:space="preserve">Аванс, %
</t>
    </r>
    <r>
      <rPr>
        <sz val="10"/>
        <color rgb="FFFF0000"/>
        <rFont val="Calibri (Body)"/>
      </rPr>
      <t>зміна клітинка</t>
    </r>
  </si>
  <si>
    <t>Аванс, грн</t>
  </si>
  <si>
    <t>Сума, яку отримає партнер, якщо комісія на партнері</t>
  </si>
  <si>
    <t>Сума рахунку клієнту З ПДВ</t>
  </si>
  <si>
    <t>Загальна сума для покупця</t>
  </si>
  <si>
    <t>Сума, яку отримає партнер з ПДВ, якщо комісія 
на покупця</t>
  </si>
  <si>
    <t>Сума рахунку покупця з ПДВ</t>
  </si>
  <si>
    <r>
      <rPr>
        <b/>
        <sz val="10"/>
        <color rgb="FF000000"/>
        <rFont val="Calibri"/>
        <scheme val="minor"/>
      </rPr>
      <t xml:space="preserve">1 місяць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</si>
  <si>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2 місяці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</si>
  <si>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3 місяці 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</si>
  <si>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4 місяці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</si>
  <si>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5 місяців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</si>
  <si>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6 місяців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</si>
  <si>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7 місяців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</si>
  <si>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>8 місяців</t>
    </r>
    <r>
      <rPr>
        <sz val="10"/>
        <color rgb="FF000000"/>
        <rFont val="Calibri"/>
        <scheme val="minor"/>
      </rPr>
      <t xml:space="preserve"> 
Один платіж в кінці</t>
    </r>
  </si>
  <si>
    <r>
      <rPr>
        <b/>
        <sz val="10"/>
        <color rgb="FF000000"/>
        <rFont val="Calibri"/>
        <scheme val="minor"/>
      </rPr>
      <t xml:space="preserve">9 місяців
</t>
    </r>
    <r>
      <rPr>
        <sz val="10"/>
        <color rgb="FF000000"/>
        <rFont val="Calibri"/>
        <scheme val="minor"/>
      </rPr>
      <t>Один платіж в кінці</t>
    </r>
  </si>
  <si>
    <r>
      <rPr>
        <b/>
        <sz val="10"/>
        <color rgb="FF000000"/>
        <rFont val="Calibri"/>
        <scheme val="minor"/>
      </rPr>
      <t xml:space="preserve">10 місяців
</t>
    </r>
    <r>
      <rPr>
        <sz val="10"/>
        <color rgb="FF000000"/>
        <rFont val="Calibri"/>
        <scheme val="minor"/>
      </rPr>
      <t>Рівними частинами</t>
    </r>
  </si>
  <si>
    <r>
      <rPr>
        <b/>
        <sz val="10"/>
        <color theme="1"/>
        <rFont val="Calibri"/>
        <family val="2"/>
        <scheme val="minor"/>
      </rPr>
      <t>11 місяців</t>
    </r>
    <r>
      <rPr>
        <sz val="10"/>
        <color theme="1"/>
        <rFont val="Calibri"/>
        <family val="2"/>
        <scheme val="minor"/>
      </rPr>
      <t xml:space="preserve">
Рівними частинами</t>
    </r>
  </si>
  <si>
    <r>
      <rPr>
        <b/>
        <sz val="10"/>
        <color rgb="FF000000"/>
        <rFont val="Calibri"/>
        <scheme val="minor"/>
      </rPr>
      <t xml:space="preserve">12 місяців
</t>
    </r>
    <r>
      <rPr>
        <sz val="10"/>
        <color rgb="FF000000"/>
        <rFont val="Calibri"/>
        <scheme val="minor"/>
      </rPr>
      <t>Рівними частинами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</si>
</sst>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₴&quot;"/>
    <numFmt numFmtId="165" formatCode="#,##0\ &quot;₴&quot;"/>
  </numFmts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 (Body)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rgb="FFFF0000"/>
      <name val="Calibri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left" vertical="center" wrapText="1" indent="1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165" fontId="6" fillId="0" borderId="0" xfId="0" applyNumberFormat="1" applyFont="1"/>
    <xf numFmtId="9" fontId="6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 indent="1"/>
    </xf>
    <xf numFmtId="1" fontId="1" fillId="0" borderId="0" xfId="0" applyNumberFormat="1" applyFont="1"/>
    <xf numFmtId="2" fontId="6" fillId="0" borderId="0" xfId="0" applyNumberFormat="1" applyFo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3"/>
  <sheetViews>
    <sheetView tabSelected="1" topLeftCell="A3" zoomScale="107" zoomScaleNormal="110" workbookViewId="0">
      <selection activeCell="B14" sqref="B14"/>
    </sheetView>
  </sheetViews>
  <sheetFormatPr defaultColWidth="8.85546875" defaultRowHeight="14.1"/>
  <cols>
    <col min="1" max="1" width="8.85546875" style="2"/>
    <col min="2" max="2" width="33.28515625" style="5" customWidth="1"/>
    <col min="3" max="3" width="14" style="2" bestFit="1" customWidth="1"/>
    <col min="4" max="4" width="14" style="2" customWidth="1"/>
    <col min="5" max="6" width="14" style="17" customWidth="1"/>
    <col min="7" max="7" width="16" style="2" customWidth="1"/>
    <col min="8" max="8" width="14.42578125" style="2" customWidth="1"/>
    <col min="9" max="9" width="15.42578125" style="2" bestFit="1" customWidth="1"/>
    <col min="10" max="10" width="14.42578125" style="2" customWidth="1"/>
    <col min="11" max="12" width="15.7109375" style="2" customWidth="1"/>
    <col min="13" max="13" width="17.42578125" style="2" customWidth="1"/>
    <col min="14" max="14" width="19.140625" style="2" customWidth="1"/>
    <col min="15" max="15" width="16.28515625" style="2" customWidth="1"/>
    <col min="16" max="16" width="16.140625" style="2" bestFit="1" customWidth="1"/>
    <col min="17" max="17" width="15.28515625" style="2" customWidth="1"/>
    <col min="18" max="18" width="10.85546875" style="2" bestFit="1" customWidth="1"/>
    <col min="19" max="16384" width="8.85546875" style="2"/>
  </cols>
  <sheetData>
    <row r="1" spans="2:17" ht="65.099999999999994" customHeight="1">
      <c r="B1" s="6" t="s">
        <v>0</v>
      </c>
      <c r="C1" s="21" t="s">
        <v>1</v>
      </c>
      <c r="D1" s="21" t="s">
        <v>2</v>
      </c>
      <c r="E1" s="15" t="s">
        <v>3</v>
      </c>
      <c r="F1" s="15" t="s">
        <v>4</v>
      </c>
      <c r="G1" s="20" t="s">
        <v>5</v>
      </c>
      <c r="H1" s="7" t="s">
        <v>6</v>
      </c>
      <c r="I1" s="6" t="s">
        <v>7</v>
      </c>
      <c r="J1" s="20" t="s">
        <v>8</v>
      </c>
      <c r="K1" s="7" t="s">
        <v>9</v>
      </c>
      <c r="L1" s="7" t="s">
        <v>10</v>
      </c>
      <c r="M1" s="8"/>
      <c r="N1" s="7" t="s">
        <v>11</v>
      </c>
      <c r="O1" s="7" t="s">
        <v>12</v>
      </c>
      <c r="P1" s="7" t="s">
        <v>10</v>
      </c>
    </row>
    <row r="2" spans="2:17" ht="30" customHeight="1">
      <c r="B2" s="22" t="s">
        <v>13</v>
      </c>
      <c r="C2" s="13">
        <v>2.5000000000000001E-2</v>
      </c>
      <c r="D2" s="13">
        <v>2.5000000000000001E-2</v>
      </c>
      <c r="E2" s="16">
        <f>G2-(G2*F2)/(1+F2)</f>
        <v>0</v>
      </c>
      <c r="F2" s="19">
        <v>0.2</v>
      </c>
      <c r="G2" s="14"/>
      <c r="H2" s="10">
        <v>0</v>
      </c>
      <c r="I2" s="9">
        <f>G2*H2</f>
        <v>0</v>
      </c>
      <c r="J2" s="14">
        <f>(G2-I2)*(1-C2)+I2</f>
        <v>0</v>
      </c>
      <c r="K2" s="9">
        <f>G2-I2</f>
        <v>0</v>
      </c>
      <c r="L2" s="9">
        <f>K2+I2</f>
        <v>0</v>
      </c>
      <c r="M2" s="11"/>
      <c r="N2" s="14">
        <f>O2-(O2*C2)</f>
        <v>0</v>
      </c>
      <c r="O2" s="9">
        <f>(G2-I2)/(1-D2)</f>
        <v>0</v>
      </c>
      <c r="P2" s="9">
        <f>I2+O2</f>
        <v>0</v>
      </c>
    </row>
    <row r="3" spans="2:17" ht="30" customHeight="1">
      <c r="B3" s="22" t="s">
        <v>14</v>
      </c>
      <c r="C3" s="13">
        <v>0.05</v>
      </c>
      <c r="D3" s="13">
        <v>0.05</v>
      </c>
      <c r="E3" s="16">
        <f>G3-(G3*F3)/(1+F3)</f>
        <v>0</v>
      </c>
      <c r="F3" s="19">
        <v>0.2</v>
      </c>
      <c r="G3" s="14"/>
      <c r="H3" s="10">
        <v>0</v>
      </c>
      <c r="I3" s="9">
        <f>G3*H3</f>
        <v>0</v>
      </c>
      <c r="J3" s="14">
        <f>(G3-I3)*(1-C3)+I3</f>
        <v>0</v>
      </c>
      <c r="K3" s="9">
        <f>G3-I3</f>
        <v>0</v>
      </c>
      <c r="L3" s="9">
        <f>K3+I3</f>
        <v>0</v>
      </c>
      <c r="M3" s="12"/>
      <c r="N3" s="14">
        <f t="shared" ref="N3:N13" si="0">O3-(O3*C3)</f>
        <v>0</v>
      </c>
      <c r="O3" s="9">
        <f>(G3-I3)/(1-D3)</f>
        <v>0</v>
      </c>
      <c r="P3" s="9">
        <f t="shared" ref="P3:P13" si="1">I3+O3</f>
        <v>0</v>
      </c>
      <c r="Q3" s="3"/>
    </row>
    <row r="4" spans="2:17" ht="30" customHeight="1">
      <c r="B4" s="22" t="s">
        <v>15</v>
      </c>
      <c r="C4" s="13">
        <v>7.4999999999999997E-2</v>
      </c>
      <c r="D4" s="13">
        <v>7.4999999999999997E-2</v>
      </c>
      <c r="E4" s="16">
        <f t="shared" ref="E4:E13" si="2">G4-(G4*F4)/(1+F4)</f>
        <v>0</v>
      </c>
      <c r="F4" s="19">
        <v>0.2</v>
      </c>
      <c r="G4" s="14"/>
      <c r="H4" s="10">
        <v>0</v>
      </c>
      <c r="I4" s="9">
        <f>G4*H4</f>
        <v>0</v>
      </c>
      <c r="J4" s="14">
        <f t="shared" ref="J4:J13" si="3">(G4-I4)*(1-C4)+I4</f>
        <v>0</v>
      </c>
      <c r="K4" s="9">
        <f t="shared" ref="K4:K13" si="4">G4-I4</f>
        <v>0</v>
      </c>
      <c r="L4" s="9">
        <f t="shared" ref="L4:L13" si="5">K4+I4</f>
        <v>0</v>
      </c>
      <c r="M4" s="12"/>
      <c r="N4" s="14">
        <f t="shared" si="0"/>
        <v>0</v>
      </c>
      <c r="O4" s="9">
        <f>(G4-I4)/(1-D4)</f>
        <v>0</v>
      </c>
      <c r="P4" s="9">
        <f>I4+O4</f>
        <v>0</v>
      </c>
    </row>
    <row r="5" spans="2:17" ht="30" customHeight="1">
      <c r="B5" s="22" t="s">
        <v>16</v>
      </c>
      <c r="C5" s="13">
        <v>0.1</v>
      </c>
      <c r="D5" s="13">
        <v>0.1</v>
      </c>
      <c r="E5" s="16">
        <f t="shared" si="2"/>
        <v>0</v>
      </c>
      <c r="F5" s="19">
        <v>0.2</v>
      </c>
      <c r="G5" s="14"/>
      <c r="H5" s="10">
        <v>0</v>
      </c>
      <c r="I5" s="9">
        <f t="shared" ref="I5:I13" si="6">G5*H5</f>
        <v>0</v>
      </c>
      <c r="J5" s="14">
        <f t="shared" si="3"/>
        <v>0</v>
      </c>
      <c r="K5" s="9">
        <f t="shared" si="4"/>
        <v>0</v>
      </c>
      <c r="L5" s="9">
        <f t="shared" si="5"/>
        <v>0</v>
      </c>
      <c r="M5" s="12"/>
      <c r="N5" s="14">
        <f t="shared" si="0"/>
        <v>0</v>
      </c>
      <c r="O5" s="9">
        <f>(G5-I5)/(1-D5)</f>
        <v>0</v>
      </c>
      <c r="P5" s="9">
        <f t="shared" si="1"/>
        <v>0</v>
      </c>
    </row>
    <row r="6" spans="2:17" ht="30" customHeight="1">
      <c r="B6" s="22" t="s">
        <v>17</v>
      </c>
      <c r="C6" s="13">
        <v>0.125</v>
      </c>
      <c r="D6" s="13">
        <v>0.125</v>
      </c>
      <c r="E6" s="16">
        <f t="shared" si="2"/>
        <v>0</v>
      </c>
      <c r="F6" s="19">
        <v>0.2</v>
      </c>
      <c r="G6" s="14"/>
      <c r="H6" s="10">
        <v>0</v>
      </c>
      <c r="I6" s="9">
        <f t="shared" si="6"/>
        <v>0</v>
      </c>
      <c r="J6" s="14">
        <f t="shared" si="3"/>
        <v>0</v>
      </c>
      <c r="K6" s="9">
        <f t="shared" si="4"/>
        <v>0</v>
      </c>
      <c r="L6" s="9">
        <f t="shared" si="5"/>
        <v>0</v>
      </c>
      <c r="M6" s="12"/>
      <c r="N6" s="14">
        <f t="shared" si="0"/>
        <v>0</v>
      </c>
      <c r="O6" s="9">
        <f>(G6-I6)/(1-D6)</f>
        <v>0</v>
      </c>
      <c r="P6" s="9">
        <f t="shared" si="1"/>
        <v>0</v>
      </c>
    </row>
    <row r="7" spans="2:17" ht="30" customHeight="1">
      <c r="B7" s="22" t="s">
        <v>18</v>
      </c>
      <c r="C7" s="13">
        <v>0.15</v>
      </c>
      <c r="D7" s="13">
        <v>0.15</v>
      </c>
      <c r="E7" s="16">
        <f>G7-(G7*F7)/(1+F7)</f>
        <v>0</v>
      </c>
      <c r="F7" s="19">
        <v>0.2</v>
      </c>
      <c r="G7" s="14"/>
      <c r="H7" s="10">
        <v>0</v>
      </c>
      <c r="I7" s="9">
        <f>G7*H7</f>
        <v>0</v>
      </c>
      <c r="J7" s="14">
        <f>(G7-I7)*(1-C7)+I7</f>
        <v>0</v>
      </c>
      <c r="K7" s="9">
        <f>G7-I7</f>
        <v>0</v>
      </c>
      <c r="L7" s="9">
        <f t="shared" si="5"/>
        <v>0</v>
      </c>
      <c r="M7" s="12"/>
      <c r="N7" s="14">
        <f t="shared" si="0"/>
        <v>0</v>
      </c>
      <c r="O7" s="9">
        <f>(G7-I7)/(1-D7)</f>
        <v>0</v>
      </c>
      <c r="P7" s="9">
        <f t="shared" si="1"/>
        <v>0</v>
      </c>
    </row>
    <row r="8" spans="2:17" ht="30" customHeight="1">
      <c r="B8" s="22" t="s">
        <v>19</v>
      </c>
      <c r="C8" s="13">
        <v>0.18</v>
      </c>
      <c r="D8" s="13">
        <v>0.18</v>
      </c>
      <c r="E8" s="16">
        <f>G8-(G8*F8)/(1+F8)</f>
        <v>0</v>
      </c>
      <c r="F8" s="19">
        <v>0.2</v>
      </c>
      <c r="G8" s="14"/>
      <c r="H8" s="10">
        <v>0</v>
      </c>
      <c r="I8" s="9">
        <f>G8*H8</f>
        <v>0</v>
      </c>
      <c r="J8" s="14">
        <f>(G8-I8)*(1-C8)+I8</f>
        <v>0</v>
      </c>
      <c r="K8" s="9">
        <f>G8-I8</f>
        <v>0</v>
      </c>
      <c r="L8" s="9">
        <f t="shared" si="5"/>
        <v>0</v>
      </c>
      <c r="M8" s="12"/>
      <c r="N8" s="14">
        <f t="shared" si="0"/>
        <v>0</v>
      </c>
      <c r="O8" s="9">
        <f>(G8-I8)/(1-D8)</f>
        <v>0</v>
      </c>
      <c r="P8" s="9">
        <f t="shared" si="1"/>
        <v>0</v>
      </c>
    </row>
    <row r="9" spans="2:17" ht="30" customHeight="1">
      <c r="B9" s="22" t="s">
        <v>20</v>
      </c>
      <c r="C9" s="13">
        <v>0.2</v>
      </c>
      <c r="D9" s="13">
        <v>0.2</v>
      </c>
      <c r="E9" s="16">
        <f t="shared" si="2"/>
        <v>0</v>
      </c>
      <c r="F9" s="19">
        <v>0.2</v>
      </c>
      <c r="G9" s="14"/>
      <c r="H9" s="10">
        <v>0</v>
      </c>
      <c r="I9" s="9">
        <f t="shared" si="6"/>
        <v>0</v>
      </c>
      <c r="J9" s="14">
        <f t="shared" si="3"/>
        <v>0</v>
      </c>
      <c r="K9" s="9">
        <f t="shared" si="4"/>
        <v>0</v>
      </c>
      <c r="L9" s="9">
        <f t="shared" si="5"/>
        <v>0</v>
      </c>
      <c r="M9" s="12"/>
      <c r="N9" s="14">
        <f t="shared" si="0"/>
        <v>0</v>
      </c>
      <c r="O9" s="9">
        <f>(G9-I9)/(1-D9)</f>
        <v>0</v>
      </c>
      <c r="P9" s="9">
        <f t="shared" si="1"/>
        <v>0</v>
      </c>
    </row>
    <row r="10" spans="2:17" ht="30" customHeight="1">
      <c r="B10" s="22" t="s">
        <v>21</v>
      </c>
      <c r="C10" s="13">
        <v>0.22500000000000001</v>
      </c>
      <c r="D10" s="13">
        <v>0.22500000000000001</v>
      </c>
      <c r="E10" s="16">
        <f t="shared" si="2"/>
        <v>0</v>
      </c>
      <c r="F10" s="19">
        <v>0.2</v>
      </c>
      <c r="G10" s="14"/>
      <c r="H10" s="10">
        <v>0</v>
      </c>
      <c r="I10" s="9">
        <f t="shared" si="6"/>
        <v>0</v>
      </c>
      <c r="J10" s="14">
        <f t="shared" si="3"/>
        <v>0</v>
      </c>
      <c r="K10" s="9">
        <f t="shared" si="4"/>
        <v>0</v>
      </c>
      <c r="L10" s="9">
        <f t="shared" si="5"/>
        <v>0</v>
      </c>
      <c r="M10" s="12"/>
      <c r="N10" s="14">
        <f>O10-(O10*C10)</f>
        <v>0</v>
      </c>
      <c r="O10" s="9">
        <f>(G10-I10)/(1-D10)</f>
        <v>0</v>
      </c>
      <c r="P10" s="9">
        <f t="shared" si="1"/>
        <v>0</v>
      </c>
    </row>
    <row r="11" spans="2:17" ht="30" customHeight="1">
      <c r="B11" s="22" t="s">
        <v>22</v>
      </c>
      <c r="C11" s="13">
        <v>0.21</v>
      </c>
      <c r="D11" s="13">
        <v>0.21</v>
      </c>
      <c r="E11" s="16">
        <f t="shared" si="2"/>
        <v>0</v>
      </c>
      <c r="F11" s="19">
        <v>0.2</v>
      </c>
      <c r="G11" s="14"/>
      <c r="H11" s="10">
        <v>0</v>
      </c>
      <c r="I11" s="9">
        <f t="shared" si="6"/>
        <v>0</v>
      </c>
      <c r="J11" s="14">
        <f t="shared" si="3"/>
        <v>0</v>
      </c>
      <c r="K11" s="9">
        <f t="shared" si="4"/>
        <v>0</v>
      </c>
      <c r="L11" s="9">
        <f t="shared" si="5"/>
        <v>0</v>
      </c>
      <c r="M11" s="12"/>
      <c r="N11" s="14">
        <f t="shared" si="0"/>
        <v>0</v>
      </c>
      <c r="O11" s="9">
        <f>(G11-I11)/(1-D11)</f>
        <v>0</v>
      </c>
      <c r="P11" s="9">
        <f t="shared" si="1"/>
        <v>0</v>
      </c>
    </row>
    <row r="12" spans="2:17" ht="30" customHeight="1">
      <c r="B12" s="1" t="s">
        <v>23</v>
      </c>
      <c r="C12" s="13">
        <v>0.21</v>
      </c>
      <c r="D12" s="13">
        <v>0.21</v>
      </c>
      <c r="E12" s="16">
        <f t="shared" si="2"/>
        <v>0</v>
      </c>
      <c r="F12" s="19">
        <v>0.2</v>
      </c>
      <c r="G12" s="14"/>
      <c r="H12" s="10">
        <v>0</v>
      </c>
      <c r="I12" s="9">
        <f t="shared" si="6"/>
        <v>0</v>
      </c>
      <c r="J12" s="14">
        <f t="shared" si="3"/>
        <v>0</v>
      </c>
      <c r="K12" s="9">
        <f t="shared" si="4"/>
        <v>0</v>
      </c>
      <c r="L12" s="9">
        <f t="shared" si="5"/>
        <v>0</v>
      </c>
      <c r="M12" s="12"/>
      <c r="N12" s="14">
        <f t="shared" si="0"/>
        <v>0</v>
      </c>
      <c r="O12" s="9">
        <f>(G12-I12)/(1-D12)</f>
        <v>0</v>
      </c>
      <c r="P12" s="9">
        <f t="shared" si="1"/>
        <v>0</v>
      </c>
    </row>
    <row r="13" spans="2:17" ht="30" customHeight="1">
      <c r="B13" s="22" t="s">
        <v>24</v>
      </c>
      <c r="C13" s="13">
        <v>0.21</v>
      </c>
      <c r="D13" s="13">
        <v>0.21</v>
      </c>
      <c r="E13" s="16">
        <f t="shared" si="2"/>
        <v>0</v>
      </c>
      <c r="F13" s="19">
        <v>0.2</v>
      </c>
      <c r="G13" s="14"/>
      <c r="H13" s="10">
        <v>0</v>
      </c>
      <c r="I13" s="9">
        <f t="shared" si="6"/>
        <v>0</v>
      </c>
      <c r="J13" s="14">
        <f t="shared" si="3"/>
        <v>0</v>
      </c>
      <c r="K13" s="9">
        <f t="shared" si="4"/>
        <v>0</v>
      </c>
      <c r="L13" s="9">
        <f t="shared" si="5"/>
        <v>0</v>
      </c>
      <c r="M13" s="12"/>
      <c r="N13" s="14">
        <f t="shared" si="0"/>
        <v>0</v>
      </c>
      <c r="O13" s="9">
        <f>(G13-I13)/(1-D13)</f>
        <v>0</v>
      </c>
      <c r="P13" s="9">
        <f t="shared" si="1"/>
        <v>0</v>
      </c>
    </row>
    <row r="14" spans="2:17">
      <c r="B14" s="4"/>
    </row>
    <row r="16" spans="2:17">
      <c r="C16" s="23"/>
    </row>
    <row r="18" spans="3:5">
      <c r="C18" s="23"/>
      <c r="E18" s="24"/>
    </row>
    <row r="19" spans="3:5">
      <c r="E19" s="18"/>
    </row>
    <row r="23" spans="3:5">
      <c r="C23" s="2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c2c118-c0b9-42fa-b4f1-84b49423e422">
      <Terms xmlns="http://schemas.microsoft.com/office/infopath/2007/PartnerControls"/>
    </lcf76f155ced4ddcb4097134ff3c332f>
    <TaxCatchAll xmlns="c49f3c56-6989-4642-b283-7ed2ca250b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1E5DE85C1C3C0D4D8C3549B385CC67BC" ma:contentTypeVersion="15" ma:contentTypeDescription="Создание документа." ma:contentTypeScope="" ma:versionID="81caa463eeb01457713cf34ddf916b44">
  <xsd:schema xmlns:xsd="http://www.w3.org/2001/XMLSchema" xmlns:xs="http://www.w3.org/2001/XMLSchema" xmlns:p="http://schemas.microsoft.com/office/2006/metadata/properties" xmlns:ns2="dac2c118-c0b9-42fa-b4f1-84b49423e422" xmlns:ns3="c49f3c56-6989-4642-b283-7ed2ca250b6c" targetNamespace="http://schemas.microsoft.com/office/2006/metadata/properties" ma:root="true" ma:fieldsID="6805645e3a4c2893b89c83b26f8ae3eb" ns2:_="" ns3:_="">
    <xsd:import namespace="dac2c118-c0b9-42fa-b4f1-84b49423e422"/>
    <xsd:import namespace="c49f3c56-6989-4642-b283-7ed2ca250b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c2c118-c0b9-42fa-b4f1-84b49423e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bf2a4420-afd0-46e4-bff1-b2b7ec8eb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f3c56-6989-4642-b283-7ed2ca250b6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e4a746-69ee-43e1-b351-8f8d8846a40f}" ma:internalName="TaxCatchAll" ma:showField="CatchAllData" ma:web="c49f3c56-6989-4642-b283-7ed2ca250b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E7CAE7-17AE-47C8-961B-3CADE18BCDD8}"/>
</file>

<file path=customXml/itemProps2.xml><?xml version="1.0" encoding="utf-8"?>
<ds:datastoreItem xmlns:ds="http://schemas.openxmlformats.org/officeDocument/2006/customXml" ds:itemID="{6BEF1509-C583-4C3E-AE89-D7E592C8462B}"/>
</file>

<file path=customXml/itemProps3.xml><?xml version="1.0" encoding="utf-8"?>
<ds:datastoreItem xmlns:ds="http://schemas.openxmlformats.org/officeDocument/2006/customXml" ds:itemID="{41B330FD-6E1B-4F5F-9813-196497539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2026-01-22T11:13:39Z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0x0101001E5DE85C1C3C0D4D8C3549B385CC67BC</vt:lpwstr>
  </property>
  <property fmtid="{D5CDD505-2E9C-101B-9397-08002B2CF9AE}" pid="3" name="MediaServiceImageTags">
    <vt:lpwstr/>
  </property>
</Properties>
</file>